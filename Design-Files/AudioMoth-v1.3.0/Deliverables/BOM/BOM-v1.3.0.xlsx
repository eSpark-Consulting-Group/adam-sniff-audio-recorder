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635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<sst xmlns="http://schemas.openxmlformats.org/spreadsheetml/2006/main" count="307" uniqueCount="217">
  <si>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</si>
  <si>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</si>
  <si>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</si>
  <si>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</si>
  <si>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</si>
  <si>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</si>
  <si>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</si>
  <si>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Comment</t>
  </si>
  <si>
    <t>Quantity</t>
  </si>
  <si>
    <t xml:space="preserve"> Remarks</t>
  </si>
  <si>
    <t>Capacitor</t>
  </si>
  <si>
    <t>C1, C7, C10, C11, C14, C15, C17, C21</t>
  </si>
  <si>
    <t>CAP CER 1UF 25V X5R 0402</t>
  </si>
  <si>
    <t>Cap-0402</t>
  </si>
  <si>
    <t>CL05A105KA5NQNC</t>
  </si>
  <si>
    <t>Samsung</t>
  </si>
  <si>
    <t>1uF</t>
  </si>
  <si>
    <t>C2, C3</t>
  </si>
  <si>
    <t>CAP CER 0.1UF 50V X7R 0402</t>
  </si>
  <si>
    <t>CL05B104KB54PNC</t>
  </si>
  <si>
    <t>0.1uF</t>
  </si>
  <si>
    <t>C4, C19, C22, C23, C25, C26, C32, C33, C34, C39, C40, C41, C45, C46, C47, C48, C51, C52, C55, C56, C59</t>
  </si>
  <si>
    <t>cap-0402</t>
  </si>
  <si>
    <t>C1005X7R1H104KT000F</t>
  </si>
  <si>
    <t>TDK</t>
  </si>
  <si>
    <t>100nF</t>
  </si>
  <si>
    <t>Capacitors</t>
  </si>
  <si>
    <t>C5, C6, C24, C38</t>
  </si>
  <si>
    <t>10uF 16V 2Ω@100kHz ±10% CASE-A-3216-16(mm) Tantalum Capacitors ROHS</t>
  </si>
  <si>
    <t>Case-A</t>
  </si>
  <si>
    <t>CA45-A-16V-10μF-K</t>
  </si>
  <si>
    <t>TORCH</t>
  </si>
  <si>
    <t>10uF</t>
  </si>
  <si>
    <t>C8</t>
  </si>
  <si>
    <t>CAP CER 4.7UF 16V X5R 0402</t>
  </si>
  <si>
    <t>CL05A475MO5NUNC</t>
  </si>
  <si>
    <t>4.7uF</t>
  </si>
  <si>
    <t>C9, C12, C13, C16, C18, C20</t>
  </si>
  <si>
    <t>CAP CER 10000PF 50V X7R 0402</t>
  </si>
  <si>
    <t>CC0402KRX7R9BB103</t>
  </si>
  <si>
    <t>Yageo</t>
  </si>
  <si>
    <t>10nF</t>
  </si>
  <si>
    <t>C27, C35, C36, C37, C42, C43, C44, C49, C50, C53, C54, C57, C58</t>
  </si>
  <si>
    <t>CAP CER 10UF 25V X5R 0603</t>
  </si>
  <si>
    <t>Cap-0603</t>
  </si>
  <si>
    <t>CL10A106MA8NRNC</t>
  </si>
  <si>
    <t>C28, C29</t>
  </si>
  <si>
    <t>CAP CER 9PF 50V C0G/NPO 0402</t>
  </si>
  <si>
    <t>CQ0402CRNPO9BN9R0</t>
  </si>
  <si>
    <t>9pF</t>
  </si>
  <si>
    <t>C30, C31</t>
  </si>
  <si>
    <t>CAP CER 7PF 50V C0G/NP0 0402</t>
  </si>
  <si>
    <t>GJM1555C1H7R0BB01D</t>
  </si>
  <si>
    <t>Murata</t>
  </si>
  <si>
    <t>7pF</t>
  </si>
  <si>
    <t>ESD</t>
  </si>
  <si>
    <t>D1</t>
  </si>
  <si>
    <t>TVS DIODE 5.5VWM 6TSOP</t>
  </si>
  <si>
    <t>6-TSOP</t>
  </si>
  <si>
    <t>IP4220CZ6,125</t>
  </si>
  <si>
    <t>Nexperia</t>
  </si>
  <si>
    <t>-</t>
  </si>
  <si>
    <t>Ferrite Beads</t>
  </si>
  <si>
    <t>FB1</t>
  </si>
  <si>
    <t>FERRITE BEAD 220 OHM 0805 1LN</t>
  </si>
  <si>
    <t>Ind-0805</t>
  </si>
  <si>
    <t>BLM21PG221SN1D</t>
  </si>
  <si>
    <t>FB2, FB4, FB5</t>
  </si>
  <si>
    <t>FERRITE BEAD 600 OHM 0603 1LN</t>
  </si>
  <si>
    <t>IND-0603 (1608 Metric)</t>
  </si>
  <si>
    <t>BLM18HG601SN1D</t>
  </si>
  <si>
    <t>Ferrite Bead</t>
  </si>
  <si>
    <t>FB3</t>
  </si>
  <si>
    <t>400mΩ ±25% 1kΩ@100MHz 0805 Ferrite Beads ROHS</t>
  </si>
  <si>
    <t>CBW201209U102T</t>
  </si>
  <si>
    <t>FH</t>
  </si>
  <si>
    <t>Male Header</t>
  </si>
  <si>
    <t>J2</t>
  </si>
  <si>
    <t>Gold 250V 3A Straight Square Pins 2.5mm 2P 260℃ 6mm -40℃~+105℃ 3mm 2.54mm Plugin Black Brass 1x2P Plugin,P=2.54mm Pin Headers ROHS</t>
  </si>
  <si>
    <t>HDR1X2_</t>
  </si>
  <si>
    <t>X6511WV-02H-C60D30</t>
  </si>
  <si>
    <t>XKB</t>
  </si>
  <si>
    <t>DNP</t>
  </si>
  <si>
    <t>USB Connectors</t>
  </si>
  <si>
    <t>J3</t>
  </si>
  <si>
    <t>CONN RCPT USB2.0 MICRO B SMD R/A</t>
  </si>
  <si>
    <t>Molex</t>
  </si>
  <si>
    <t>Memory Connectors</t>
  </si>
  <si>
    <t>J6, J7, J8, J9, J10, J11, J12, J13, J14, J15, J16, J17</t>
  </si>
  <si>
    <t>CONN MICRO SD CARD PUSH-PUSH R/A</t>
  </si>
  <si>
    <t>Wurth Electronics</t>
  </si>
  <si>
    <t>LED</t>
  </si>
  <si>
    <t>LED1</t>
  </si>
  <si>
    <t>RED LED 0603 Light Emitting Diodes</t>
  </si>
  <si>
    <t>LED-0603</t>
  </si>
  <si>
    <t>NCD0603R3</t>
  </si>
  <si>
    <t>Foshan NationStar Optoelectronics</t>
  </si>
  <si>
    <t>LED2</t>
  </si>
  <si>
    <t>Emerald 0603 Light Emitting Diodes (LED) ROHS</t>
  </si>
  <si>
    <t>NCD0603G2</t>
  </si>
  <si>
    <t>MOSFETs</t>
  </si>
  <si>
    <t>Q1, Q3, Q6</t>
  </si>
  <si>
    <t>50V 130mA 5Ω@10V,100mA 225mW 2V@250uA 1 Piece P-Channel SC-70 MOSFETs ROHS</t>
  </si>
  <si>
    <t>SC-70</t>
  </si>
  <si>
    <t>LBSS84WT1G</t>
  </si>
  <si>
    <t>LRC</t>
  </si>
  <si>
    <t>Mosfet</t>
  </si>
  <si>
    <t>Q2</t>
  </si>
  <si>
    <t>100V 200mA 300mW 1.06Ω@10V,200mA 3V@250uA N Channel SOT-23 MOSFETs ROHS</t>
  </si>
  <si>
    <t>SOT-23</t>
  </si>
  <si>
    <t>BSS123</t>
  </si>
  <si>
    <t>BORN</t>
  </si>
  <si>
    <t>Q4</t>
  </si>
  <si>
    <t>MOSFET N/P-CH 20V 3A/2.2A SSOT-6</t>
  </si>
  <si>
    <t>SuperSOT-6</t>
  </si>
  <si>
    <t>FDC6420C</t>
  </si>
  <si>
    <t>ON Semiconductor / Fairchild</t>
  </si>
  <si>
    <t>MOSFET</t>
  </si>
  <si>
    <t>Q5</t>
  </si>
  <si>
    <t>P-Channel MOSFETs ROHS</t>
  </si>
  <si>
    <t>DMG3415U</t>
  </si>
  <si>
    <t>TECH PUBLIC</t>
  </si>
  <si>
    <t>Resistor</t>
  </si>
  <si>
    <t>R1, R10, R15, R17, R21, R22, R23, R24, R25, R31, R35, R36, R37, R38, R40, R41, R42, R43, R45, R46, R47, R48, R49, R50, R51, R52, R55, R56</t>
  </si>
  <si>
    <t>RES 10K OHM 1% 1/16W 0402</t>
  </si>
  <si>
    <t>Res-0402</t>
  </si>
  <si>
    <t>RC0402FR-0710KL</t>
  </si>
  <si>
    <t>10K</t>
  </si>
  <si>
    <t>R2</t>
  </si>
  <si>
    <t>R3, R4</t>
  </si>
  <si>
    <t>RES 15 OHM 1% 1/10W 0603</t>
  </si>
  <si>
    <t>Res-0603</t>
  </si>
  <si>
    <t>RC0603FR-0715RL</t>
  </si>
  <si>
    <t>15R</t>
  </si>
  <si>
    <t>R5, R6</t>
  </si>
  <si>
    <t>RES 49.9K OHM 1% 1/16W 0402</t>
  </si>
  <si>
    <t>RC0402FR-0749K9L</t>
  </si>
  <si>
    <t>49.9K</t>
  </si>
  <si>
    <t>Resistors</t>
  </si>
  <si>
    <t>R8, R13, R18, R19, R53</t>
  </si>
  <si>
    <t>RES 0 OHM JUMPER 1/16W 0402</t>
  </si>
  <si>
    <t>RC0402FR-070RL</t>
  </si>
  <si>
    <t>0R</t>
  </si>
  <si>
    <t>R9, R27, R28, R29, R30, R39, R44</t>
  </si>
  <si>
    <t>RES 1 OHM 1% 1/16W 0402</t>
  </si>
  <si>
    <t>RC0402FR-071RL</t>
  </si>
  <si>
    <t>1R</t>
  </si>
  <si>
    <t>R11</t>
  </si>
  <si>
    <t>RES 0 OHM JUMPER 1/10W 0603</t>
  </si>
  <si>
    <t>RC0603JR-070RL</t>
  </si>
  <si>
    <t>R14</t>
  </si>
  <si>
    <t>RES 6.8K OHM 1% 1/16W 0402</t>
  </si>
  <si>
    <t>RC0402FR-076K8L</t>
  </si>
  <si>
    <t>6.8K</t>
  </si>
  <si>
    <t>R16, R32, R33</t>
  </si>
  <si>
    <t>RES 4.7K OHM 1% 1/16W 0402</t>
  </si>
  <si>
    <t>RC0402FR-074K7L</t>
  </si>
  <si>
    <t>4.7K</t>
  </si>
  <si>
    <t>R20</t>
  </si>
  <si>
    <t>RES 240 OHM 1% 1/16W 0402</t>
  </si>
  <si>
    <t>RC0402FR-07240RL</t>
  </si>
  <si>
    <t>240R</t>
  </si>
  <si>
    <t>R26</t>
  </si>
  <si>
    <t>RES 270K OHM 5% 1/10W 0603</t>
  </si>
  <si>
    <t>RC0603JR-07270KL</t>
  </si>
  <si>
    <t>270K</t>
  </si>
  <si>
    <t>R34</t>
  </si>
  <si>
    <t>RES 133 OHM 1% 1/16W 0402</t>
  </si>
  <si>
    <t>RC0402FR-07133RL</t>
  </si>
  <si>
    <t>133R</t>
  </si>
  <si>
    <t>Slide Switches</t>
  </si>
  <si>
    <t>SW1</t>
  </si>
  <si>
    <t>300mA Horizontal attachment triple-pole/single-throw 4V 10,000 times SMD Slide Switches ROHS
Switch Slide SP3T Side Slide 0.3A 4VDC 10000Cycle Gull Wing SMD T/R</t>
  </si>
  <si>
    <t>SSSS711403</t>
  </si>
  <si>
    <t>Alps Electric</t>
  </si>
  <si>
    <t>IC</t>
  </si>
  <si>
    <t>U1</t>
  </si>
  <si>
    <t>IC REG LINEAR 3.3V 1A SOT223-5</t>
  </si>
  <si>
    <t>SOT-223-5</t>
  </si>
  <si>
    <t>LP38692MPX-3.3/NOPB</t>
  </si>
  <si>
    <t>TI National Semiconductor</t>
  </si>
  <si>
    <t>U2</t>
  </si>
  <si>
    <t>IC SRAM 16MBIT PARALLEL 48TSOP I</t>
  </si>
  <si>
    <t>48-TSOP I</t>
  </si>
  <si>
    <t>IS62WV102416DBLL-55TLI-TR</t>
  </si>
  <si>
    <t>ISSI</t>
  </si>
  <si>
    <t>U3</t>
  </si>
  <si>
    <t>IC MCU 32BIT 256KB FLASH 100LQFP</t>
  </si>
  <si>
    <t>LQFP-100(14x14)</t>
  </si>
  <si>
    <t>EFM32WG380F256-B-QFP100R</t>
  </si>
  <si>
    <t>Silicon Labs</t>
  </si>
  <si>
    <t>U4</t>
  </si>
  <si>
    <t>IC VREF SERIES 0.08% SOT23-6</t>
  </si>
  <si>
    <t>SOT-23-6</t>
  </si>
  <si>
    <t>MAX6070BAUT25+T</t>
  </si>
  <si>
    <t>Analog Devices</t>
  </si>
  <si>
    <t>U5</t>
  </si>
  <si>
    <t>IC XPNDR 400KHZ I2C SMBUS 32UQFN</t>
  </si>
  <si>
    <t>32-UQFN (5x5)</t>
  </si>
  <si>
    <t>TCA6424ARGJR</t>
  </si>
  <si>
    <t>Texas Instruments</t>
  </si>
  <si>
    <t>U6</t>
  </si>
  <si>
    <t>IC XPNDR 400KHZ I2C SMBUS 16UQFN</t>
  </si>
  <si>
    <t>16-UQFN (2.6x1.8)</t>
  </si>
  <si>
    <t>TCA6408ARSVR</t>
  </si>
  <si>
    <t>Crystals</t>
  </si>
  <si>
    <t>X1</t>
  </si>
  <si>
    <t>32.768kHz 7pF ±20ppm MC-146 Crystals ROHS</t>
  </si>
  <si>
    <t>MC-146_</t>
  </si>
  <si>
    <t>Q13MC14620001</t>
  </si>
  <si>
    <t>Seiko Epson</t>
  </si>
  <si>
    <t>32.768 KHz</t>
  </si>
  <si>
    <t>X2</t>
  </si>
  <si>
    <t>CRYSTAL 48.0000MHZ 6PF SMD</t>
  </si>
  <si>
    <t>SMD2016-4P</t>
  </si>
  <si>
    <t>XRCGB48M000F4M00R0</t>
  </si>
  <si>
    <t>48 MHz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</si>
</sst>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9">
    <font>
      <sz val="11"/>
      <color theme="1"/>
      <name val="Calibri"/>
      <charset val="134"/>
      <scheme val="minor"/>
    </font>
    <font>
      <strike/>
      <sz val="11"/>
      <color rgb="FFFF0000"/>
      <name val="Calibri"/>
      <charset val="134"/>
      <scheme val="minor"/>
    </font>
    <font>
      <sz val="10"/>
      <color indexed="13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strike/>
      <sz val="10"/>
      <color rgb="FFFF0000"/>
      <name val="Arial"/>
      <charset val="134"/>
    </font>
    <font>
      <b/>
      <strike/>
      <sz val="10"/>
      <color rgb="FFFF0000"/>
      <name val="Calibri"/>
      <charset val="134"/>
      <scheme val="minor"/>
    </font>
    <font>
      <strike/>
      <sz val="9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11" applyNumberFormat="0" applyAlignment="0" applyProtection="0">
      <alignment vertical="center"/>
    </xf>
    <xf numFmtId="0" fontId="19" fillId="6" borderId="12" applyNumberFormat="0" applyAlignment="0" applyProtection="0">
      <alignment vertical="center"/>
    </xf>
    <xf numFmtId="0" fontId="20" fillId="6" borderId="11" applyNumberFormat="0" applyAlignment="0" applyProtection="0">
      <alignment vertical="center"/>
    </xf>
    <xf numFmtId="0" fontId="21" fillId="7" borderId="13" applyNumberFormat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1" xfId="0" applyFont="1" applyFill="1" applyBorder="1"/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7" fillId="2" borderId="0" xfId="0" applyFont="1" applyFill="1"/>
    <xf numFmtId="0" fontId="8" fillId="3" borderId="2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3A4CB"/>
      <color rgb="002CD0B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45"/>
  <sheetViews>
    <sheetView tabSelected="1" topLeftCell="D16" workbookViewId="0">
      <selection activeCell="I35" sqref="I35"/>
    </sheetView>
  </sheetViews>
  <sheetFormatPr defaultColWidth="9" defaultRowHeight="15"/>
  <cols>
    <col min="2" max="2" width="3.14285714285714" style="2" customWidth="1"/>
    <col min="3" max="3" width="18.7142857142857" style="2" customWidth="1"/>
    <col min="4" max="4" width="36" customWidth="1"/>
    <col min="5" max="5" width="30" customWidth="1"/>
    <col min="6" max="6" width="26.5714285714286" customWidth="1"/>
    <col min="7" max="7" width="33.4285714285714" customWidth="1"/>
    <col min="8" max="8" width="21.4285714285714" customWidth="1"/>
    <col min="9" max="9" width="17.8571428571429" customWidth="1"/>
    <col min="10" max="10" width="16.7142857142857" customWidth="1"/>
    <col min="11" max="11" width="29.4285714285714" customWidth="1"/>
  </cols>
  <sheetData>
    <row r="1" ht="15.75" spans="1:11">
      <c r="A1" s="3"/>
      <c r="B1" s="4"/>
      <c r="C1" s="4"/>
      <c r="D1" s="5"/>
      <c r="E1" s="5"/>
      <c r="F1" s="5"/>
      <c r="G1" s="5"/>
      <c r="H1" s="5"/>
      <c r="I1" s="20"/>
      <c r="J1" s="20"/>
      <c r="K1" s="20"/>
    </row>
    <row r="2" spans="1:11">
      <c r="A2" s="3"/>
      <c r="B2" s="6" t="s">
        <v>0</v>
      </c>
      <c r="C2" s="6" t="s">
        <v>1</v>
      </c>
      <c r="D2" s="6" t="s">
        <v>2</v>
      </c>
      <c r="E2" s="7" t="s">
        <v>3</v>
      </c>
      <c r="F2" s="6" t="s">
        <v>4</v>
      </c>
      <c r="G2" s="7" t="s">
        <v>5</v>
      </c>
      <c r="H2" s="6" t="s">
        <v>6</v>
      </c>
      <c r="I2" s="7" t="s">
        <v>7</v>
      </c>
      <c r="J2" s="6" t="s">
        <v>8</v>
      </c>
      <c r="K2" s="6" t="s">
        <v>9</v>
      </c>
    </row>
    <row r="3" ht="15.75" spans="1:11">
      <c r="A3" s="3"/>
      <c r="B3" s="8">
        <f>ROW(B3)-ROW($B$2)</f>
        <v>1</v>
      </c>
      <c r="C3" s="9" t="s">
        <v>10</v>
      </c>
      <c r="D3" s="10" t="s">
        <v>11</v>
      </c>
      <c r="E3" s="11" t="s">
        <v>12</v>
      </c>
      <c r="F3" s="10" t="s">
        <v>13</v>
      </c>
      <c r="G3" s="11" t="s">
        <v>14</v>
      </c>
      <c r="H3" s="10" t="s">
        <v>15</v>
      </c>
      <c r="I3" s="11" t="s">
        <v>16</v>
      </c>
      <c r="J3" s="10">
        <v>8</v>
      </c>
      <c r="K3" s="10"/>
    </row>
    <row r="4" ht="15.75" spans="1:11">
      <c r="A4" s="3"/>
      <c r="B4" s="8">
        <f>ROW(B4)-ROW($B$2)</f>
        <v>2</v>
      </c>
      <c r="C4" s="12" t="s">
        <v>10</v>
      </c>
      <c r="D4" s="13" t="s">
        <v>17</v>
      </c>
      <c r="E4" s="14" t="s">
        <v>18</v>
      </c>
      <c r="F4" s="13" t="s">
        <v>13</v>
      </c>
      <c r="G4" s="14" t="s">
        <v>19</v>
      </c>
      <c r="H4" s="13" t="s">
        <v>15</v>
      </c>
      <c r="I4" s="14" t="s">
        <v>20</v>
      </c>
      <c r="J4" s="13">
        <v>2</v>
      </c>
      <c r="K4" s="13"/>
    </row>
    <row r="5" ht="36.75" spans="1:11">
      <c r="A5" s="3"/>
      <c r="B5" s="8">
        <f>ROW(B5)-ROW($B$2)</f>
        <v>3</v>
      </c>
      <c r="C5" s="9" t="s">
        <v>10</v>
      </c>
      <c r="D5" s="10" t="s">
        <v>21</v>
      </c>
      <c r="E5" s="11" t="s">
        <v>18</v>
      </c>
      <c r="F5" s="10" t="s">
        <v>22</v>
      </c>
      <c r="G5" s="11" t="s">
        <v>23</v>
      </c>
      <c r="H5" s="10" t="s">
        <v>24</v>
      </c>
      <c r="I5" s="11" t="s">
        <v>25</v>
      </c>
      <c r="J5" s="10">
        <v>21</v>
      </c>
      <c r="K5" s="10"/>
    </row>
    <row r="6" ht="36.75" spans="1:11">
      <c r="A6" s="3"/>
      <c r="B6" s="8">
        <f>ROW(B6)-ROW($B$2)</f>
        <v>4</v>
      </c>
      <c r="C6" s="12" t="s">
        <v>26</v>
      </c>
      <c r="D6" s="13" t="s">
        <v>27</v>
      </c>
      <c r="E6" s="14" t="s">
        <v>28</v>
      </c>
      <c r="F6" s="13" t="s">
        <v>29</v>
      </c>
      <c r="G6" s="14" t="s">
        <v>30</v>
      </c>
      <c r="H6" s="13" t="s">
        <v>31</v>
      </c>
      <c r="I6" s="14" t="s">
        <v>32</v>
      </c>
      <c r="J6" s="13">
        <v>4</v>
      </c>
      <c r="K6" s="13"/>
    </row>
    <row r="7" spans="1:11">
      <c r="A7" s="3"/>
      <c r="B7" s="8">
        <f>ROW(B7)-ROW($B$2)</f>
        <v>5</v>
      </c>
      <c r="C7" s="12" t="s">
        <v>26</v>
      </c>
      <c r="D7" s="10" t="s">
        <v>33</v>
      </c>
      <c r="E7" s="11" t="s">
        <v>34</v>
      </c>
      <c r="F7" s="10" t="s">
        <v>13</v>
      </c>
      <c r="G7" s="11" t="s">
        <v>35</v>
      </c>
      <c r="H7" s="10" t="s">
        <v>15</v>
      </c>
      <c r="I7" s="11" t="s">
        <v>36</v>
      </c>
      <c r="J7" s="10">
        <v>1</v>
      </c>
      <c r="K7" s="10"/>
    </row>
    <row r="8" spans="1:11">
      <c r="A8" s="3"/>
      <c r="B8" s="8">
        <f>ROW(B8)-ROW($B$2)</f>
        <v>6</v>
      </c>
      <c r="C8" s="12" t="s">
        <v>26</v>
      </c>
      <c r="D8" s="13" t="s">
        <v>37</v>
      </c>
      <c r="E8" s="14" t="s">
        <v>38</v>
      </c>
      <c r="F8" s="13" t="s">
        <v>13</v>
      </c>
      <c r="G8" s="14" t="s">
        <v>39</v>
      </c>
      <c r="H8" s="13" t="s">
        <v>40</v>
      </c>
      <c r="I8" s="14" t="s">
        <v>41</v>
      </c>
      <c r="J8" s="13">
        <v>6</v>
      </c>
      <c r="K8" s="13"/>
    </row>
    <row r="9" ht="24.75" spans="1:11">
      <c r="A9" s="3"/>
      <c r="B9" s="8">
        <f>ROW(B9)-ROW($B$2)</f>
        <v>7</v>
      </c>
      <c r="C9" s="12" t="s">
        <v>26</v>
      </c>
      <c r="D9" s="10" t="s">
        <v>42</v>
      </c>
      <c r="E9" s="11" t="s">
        <v>43</v>
      </c>
      <c r="F9" s="10" t="s">
        <v>44</v>
      </c>
      <c r="G9" s="11" t="s">
        <v>45</v>
      </c>
      <c r="H9" s="10" t="s">
        <v>15</v>
      </c>
      <c r="I9" s="11" t="s">
        <v>32</v>
      </c>
      <c r="J9" s="10">
        <v>13</v>
      </c>
      <c r="K9" s="10"/>
    </row>
    <row r="10" spans="1:11">
      <c r="A10" s="3"/>
      <c r="B10" s="8">
        <f>ROW(B10)-ROW($B$2)</f>
        <v>8</v>
      </c>
      <c r="C10" s="12" t="s">
        <v>10</v>
      </c>
      <c r="D10" s="13" t="s">
        <v>46</v>
      </c>
      <c r="E10" s="14" t="s">
        <v>47</v>
      </c>
      <c r="F10" s="13" t="s">
        <v>13</v>
      </c>
      <c r="G10" s="14" t="s">
        <v>48</v>
      </c>
      <c r="H10" s="13" t="s">
        <v>40</v>
      </c>
      <c r="I10" s="14" t="s">
        <v>49</v>
      </c>
      <c r="J10" s="13">
        <v>2</v>
      </c>
      <c r="K10" s="13"/>
    </row>
    <row r="11" spans="1:11">
      <c r="A11" s="3"/>
      <c r="B11" s="8">
        <f>ROW(B11)-ROW($B$2)</f>
        <v>9</v>
      </c>
      <c r="C11" s="12" t="s">
        <v>10</v>
      </c>
      <c r="D11" s="10" t="s">
        <v>50</v>
      </c>
      <c r="E11" s="11" t="s">
        <v>51</v>
      </c>
      <c r="F11" s="10" t="s">
        <v>13</v>
      </c>
      <c r="G11" s="11" t="s">
        <v>52</v>
      </c>
      <c r="H11" s="10" t="s">
        <v>53</v>
      </c>
      <c r="I11" s="11" t="s">
        <v>54</v>
      </c>
      <c r="J11" s="10">
        <v>2</v>
      </c>
      <c r="K11" s="10"/>
    </row>
    <row r="12" spans="1:11">
      <c r="A12" s="3"/>
      <c r="B12" s="8">
        <f>ROW(B12)-ROW($B$2)</f>
        <v>10</v>
      </c>
      <c r="C12" s="12" t="s">
        <v>55</v>
      </c>
      <c r="D12" s="13" t="s">
        <v>56</v>
      </c>
      <c r="E12" s="14" t="s">
        <v>57</v>
      </c>
      <c r="F12" s="13" t="s">
        <v>58</v>
      </c>
      <c r="G12" s="14" t="s">
        <v>59</v>
      </c>
      <c r="H12" s="13" t="s">
        <v>60</v>
      </c>
      <c r="I12" s="14" t="s">
        <v>61</v>
      </c>
      <c r="J12" s="13">
        <v>1</v>
      </c>
      <c r="K12" s="13"/>
    </row>
    <row r="13" spans="1:11">
      <c r="A13" s="3"/>
      <c r="B13" s="8">
        <f>ROW(B13)-ROW($B$2)</f>
        <v>11</v>
      </c>
      <c r="C13" s="9" t="s">
        <v>62</v>
      </c>
      <c r="D13" s="10" t="s">
        <v>63</v>
      </c>
      <c r="E13" s="11" t="s">
        <v>64</v>
      </c>
      <c r="F13" s="10" t="s">
        <v>65</v>
      </c>
      <c r="G13" s="11" t="s">
        <v>66</v>
      </c>
      <c r="H13" s="10" t="s">
        <v>53</v>
      </c>
      <c r="I13" s="11" t="s">
        <v>61</v>
      </c>
      <c r="J13" s="10">
        <v>1</v>
      </c>
      <c r="K13" s="10"/>
    </row>
    <row r="14" spans="1:11">
      <c r="A14" s="3"/>
      <c r="B14" s="8">
        <f>ROW(B14)-ROW($B$2)</f>
        <v>12</v>
      </c>
      <c r="C14" s="12" t="s">
        <v>62</v>
      </c>
      <c r="D14" s="13" t="s">
        <v>67</v>
      </c>
      <c r="E14" s="14" t="s">
        <v>68</v>
      </c>
      <c r="F14" s="13" t="s">
        <v>69</v>
      </c>
      <c r="G14" s="14" t="s">
        <v>70</v>
      </c>
      <c r="H14" s="13" t="s">
        <v>53</v>
      </c>
      <c r="I14" s="14" t="s">
        <v>61</v>
      </c>
      <c r="J14" s="13">
        <v>3</v>
      </c>
      <c r="K14" s="13"/>
    </row>
    <row r="15" ht="24.75" spans="1:11">
      <c r="A15" s="3"/>
      <c r="B15" s="8">
        <f>ROW(B15)-ROW($B$2)</f>
        <v>13</v>
      </c>
      <c r="C15" s="9" t="s">
        <v>71</v>
      </c>
      <c r="D15" s="10" t="s">
        <v>72</v>
      </c>
      <c r="E15" s="11" t="s">
        <v>73</v>
      </c>
      <c r="F15" s="10" t="s">
        <v>65</v>
      </c>
      <c r="G15" s="11" t="s">
        <v>74</v>
      </c>
      <c r="H15" s="10" t="s">
        <v>75</v>
      </c>
      <c r="I15" s="11" t="s">
        <v>61</v>
      </c>
      <c r="J15" s="10">
        <v>1</v>
      </c>
      <c r="K15" s="10"/>
    </row>
    <row r="16" s="1" customFormat="1" ht="48.75" spans="1:11">
      <c r="A16" s="15"/>
      <c r="B16" s="16">
        <f>ROW(B16)-ROW($B$2)</f>
        <v>14</v>
      </c>
      <c r="C16" s="17" t="s">
        <v>76</v>
      </c>
      <c r="D16" s="18" t="s">
        <v>77</v>
      </c>
      <c r="E16" s="19" t="s">
        <v>78</v>
      </c>
      <c r="F16" s="18" t="s">
        <v>79</v>
      </c>
      <c r="G16" s="19" t="s">
        <v>80</v>
      </c>
      <c r="H16" s="18" t="s">
        <v>81</v>
      </c>
      <c r="I16" s="19" t="s">
        <v>82</v>
      </c>
      <c r="J16" s="18">
        <v>1</v>
      </c>
      <c r="K16" s="18"/>
    </row>
    <row r="17" spans="1:11">
      <c r="A17" s="3"/>
      <c r="B17" s="8">
        <f>ROW(B17)-ROW($B$2)</f>
        <v>15</v>
      </c>
      <c r="C17" s="9" t="s">
        <v>83</v>
      </c>
      <c r="D17" s="10" t="s">
        <v>84</v>
      </c>
      <c r="E17" s="11" t="s">
        <v>85</v>
      </c>
      <c r="F17" s="10">
        <v>1050170001</v>
      </c>
      <c r="G17" s="11">
        <v>1050170001</v>
      </c>
      <c r="H17" s="10" t="s">
        <v>86</v>
      </c>
      <c r="I17" s="11" t="s">
        <v>61</v>
      </c>
      <c r="J17" s="10">
        <v>1</v>
      </c>
      <c r="K17" s="10"/>
    </row>
    <row r="18" spans="1:11">
      <c r="A18" s="3"/>
      <c r="B18" s="8">
        <f>ROW(B18)-ROW($B$2)</f>
        <v>16</v>
      </c>
      <c r="C18" s="12" t="s">
        <v>87</v>
      </c>
      <c r="D18" s="13" t="s">
        <v>88</v>
      </c>
      <c r="E18" s="14" t="s">
        <v>89</v>
      </c>
      <c r="F18" s="13">
        <v>693071010811</v>
      </c>
      <c r="G18" s="14">
        <v>693071010811</v>
      </c>
      <c r="H18" s="13" t="s">
        <v>90</v>
      </c>
      <c r="I18" s="14" t="s">
        <v>61</v>
      </c>
      <c r="J18" s="13">
        <v>12</v>
      </c>
      <c r="K18" s="13"/>
    </row>
    <row r="19" ht="24.75" spans="1:11">
      <c r="A19" s="3"/>
      <c r="B19" s="8">
        <f>ROW(B19)-ROW($B$2)</f>
        <v>17</v>
      </c>
      <c r="C19" s="9" t="s">
        <v>91</v>
      </c>
      <c r="D19" s="10" t="s">
        <v>92</v>
      </c>
      <c r="E19" s="11" t="s">
        <v>93</v>
      </c>
      <c r="F19" s="10" t="s">
        <v>94</v>
      </c>
      <c r="G19" s="11" t="s">
        <v>95</v>
      </c>
      <c r="H19" s="10" t="s">
        <v>96</v>
      </c>
      <c r="I19" s="11" t="s">
        <v>61</v>
      </c>
      <c r="J19" s="10">
        <v>1</v>
      </c>
      <c r="K19" s="10"/>
    </row>
    <row r="20" ht="24.75" spans="1:11">
      <c r="A20" s="3"/>
      <c r="B20" s="8">
        <f>ROW(B20)-ROW($B$2)</f>
        <v>18</v>
      </c>
      <c r="C20" s="12" t="s">
        <v>91</v>
      </c>
      <c r="D20" s="13" t="s">
        <v>97</v>
      </c>
      <c r="E20" s="14" t="s">
        <v>98</v>
      </c>
      <c r="F20" s="13" t="s">
        <v>94</v>
      </c>
      <c r="G20" s="14" t="s">
        <v>99</v>
      </c>
      <c r="H20" s="13" t="s">
        <v>96</v>
      </c>
      <c r="I20" s="14" t="s">
        <v>61</v>
      </c>
      <c r="J20" s="13">
        <v>1</v>
      </c>
      <c r="K20" s="13"/>
    </row>
    <row r="21" ht="36.75" spans="1:11">
      <c r="A21" s="3"/>
      <c r="B21" s="8">
        <f>ROW(B21)-ROW($B$2)</f>
        <v>19</v>
      </c>
      <c r="C21" s="9" t="s">
        <v>100</v>
      </c>
      <c r="D21" s="10" t="s">
        <v>101</v>
      </c>
      <c r="E21" s="11" t="s">
        <v>102</v>
      </c>
      <c r="F21" s="10" t="s">
        <v>103</v>
      </c>
      <c r="G21" s="11" t="s">
        <v>104</v>
      </c>
      <c r="H21" s="10" t="s">
        <v>105</v>
      </c>
      <c r="I21" s="11" t="s">
        <v>61</v>
      </c>
      <c r="J21" s="10">
        <v>3</v>
      </c>
      <c r="K21" s="10"/>
    </row>
    <row r="22" ht="36.75" spans="1:11">
      <c r="A22" s="3"/>
      <c r="B22" s="8">
        <f>ROW(B22)-ROW($B$2)</f>
        <v>20</v>
      </c>
      <c r="C22" s="12" t="s">
        <v>106</v>
      </c>
      <c r="D22" s="13" t="s">
        <v>107</v>
      </c>
      <c r="E22" s="14" t="s">
        <v>108</v>
      </c>
      <c r="F22" s="13" t="s">
        <v>109</v>
      </c>
      <c r="G22" s="14" t="s">
        <v>110</v>
      </c>
      <c r="H22" s="13" t="s">
        <v>111</v>
      </c>
      <c r="I22" s="14" t="s">
        <v>61</v>
      </c>
      <c r="J22" s="13">
        <v>1</v>
      </c>
      <c r="K22" s="13"/>
    </row>
    <row r="23" ht="24.75" spans="1:11">
      <c r="A23" s="3"/>
      <c r="B23" s="8">
        <f>ROW(B23)-ROW($B$2)</f>
        <v>21</v>
      </c>
      <c r="C23" s="9" t="s">
        <v>100</v>
      </c>
      <c r="D23" s="10" t="s">
        <v>112</v>
      </c>
      <c r="E23" s="11" t="s">
        <v>113</v>
      </c>
      <c r="F23" s="10" t="s">
        <v>114</v>
      </c>
      <c r="G23" s="11" t="s">
        <v>115</v>
      </c>
      <c r="H23" s="10" t="s">
        <v>116</v>
      </c>
      <c r="I23" s="11" t="s">
        <v>61</v>
      </c>
      <c r="J23" s="10">
        <v>1</v>
      </c>
      <c r="K23" s="10"/>
    </row>
    <row r="24" spans="1:11">
      <c r="A24" s="3"/>
      <c r="B24" s="8">
        <f>ROW(B24)-ROW($B$2)</f>
        <v>22</v>
      </c>
      <c r="C24" s="12" t="s">
        <v>117</v>
      </c>
      <c r="D24" s="13" t="s">
        <v>118</v>
      </c>
      <c r="E24" s="14" t="s">
        <v>119</v>
      </c>
      <c r="F24" s="13" t="s">
        <v>109</v>
      </c>
      <c r="G24" s="14" t="s">
        <v>120</v>
      </c>
      <c r="H24" s="13" t="s">
        <v>121</v>
      </c>
      <c r="I24" s="14" t="s">
        <v>61</v>
      </c>
      <c r="J24" s="13">
        <v>1</v>
      </c>
      <c r="K24" s="13"/>
    </row>
    <row r="25" ht="36.75" spans="1:11">
      <c r="A25" s="3"/>
      <c r="B25" s="8">
        <f>ROW(B25)-ROW($B$2)</f>
        <v>23</v>
      </c>
      <c r="C25" s="9" t="s">
        <v>122</v>
      </c>
      <c r="D25" s="10" t="s">
        <v>123</v>
      </c>
      <c r="E25" s="11" t="s">
        <v>124</v>
      </c>
      <c r="F25" s="10" t="s">
        <v>125</v>
      </c>
      <c r="G25" s="11" t="s">
        <v>126</v>
      </c>
      <c r="H25" s="10" t="s">
        <v>40</v>
      </c>
      <c r="I25" s="11" t="s">
        <v>127</v>
      </c>
      <c r="J25" s="10">
        <v>28</v>
      </c>
      <c r="K25" s="10"/>
    </row>
    <row r="26" s="1" customFormat="1" ht="15.75" spans="1:11">
      <c r="A26" s="15"/>
      <c r="B26" s="16">
        <f>ROW(B26)-ROW($B$2)</f>
        <v>24</v>
      </c>
      <c r="C26" s="17" t="s">
        <v>122</v>
      </c>
      <c r="D26" s="18" t="s">
        <v>128</v>
      </c>
      <c r="E26" s="19" t="s">
        <v>124</v>
      </c>
      <c r="F26" s="18" t="s">
        <v>125</v>
      </c>
      <c r="G26" s="19" t="s">
        <v>126</v>
      </c>
      <c r="H26" s="18" t="s">
        <v>40</v>
      </c>
      <c r="I26" s="19" t="s">
        <v>82</v>
      </c>
      <c r="J26" s="18">
        <v>1</v>
      </c>
      <c r="K26" s="18"/>
    </row>
    <row r="27" spans="1:11">
      <c r="A27" s="3"/>
      <c r="B27" s="8">
        <f>ROW(B27)-ROW($B$2)</f>
        <v>25</v>
      </c>
      <c r="C27" s="9" t="s">
        <v>122</v>
      </c>
      <c r="D27" s="10" t="s">
        <v>129</v>
      </c>
      <c r="E27" s="11" t="s">
        <v>130</v>
      </c>
      <c r="F27" s="10" t="s">
        <v>131</v>
      </c>
      <c r="G27" s="11" t="s">
        <v>132</v>
      </c>
      <c r="H27" s="10" t="s">
        <v>40</v>
      </c>
      <c r="I27" s="11" t="s">
        <v>133</v>
      </c>
      <c r="J27" s="10">
        <v>2</v>
      </c>
      <c r="K27" s="10"/>
    </row>
    <row r="28" ht="15.75" spans="1:11">
      <c r="A28" s="3"/>
      <c r="B28" s="8">
        <f>ROW(B28)-ROW($B$2)</f>
        <v>26</v>
      </c>
      <c r="C28" s="12" t="s">
        <v>122</v>
      </c>
      <c r="D28" s="13" t="s">
        <v>134</v>
      </c>
      <c r="E28" s="14" t="s">
        <v>135</v>
      </c>
      <c r="F28" s="13" t="s">
        <v>125</v>
      </c>
      <c r="G28" s="14" t="s">
        <v>136</v>
      </c>
      <c r="H28" s="13" t="s">
        <v>40</v>
      </c>
      <c r="I28" s="14" t="s">
        <v>137</v>
      </c>
      <c r="J28" s="13">
        <v>2</v>
      </c>
      <c r="K28" s="13"/>
    </row>
    <row r="29" ht="15.75" spans="1:11">
      <c r="A29" s="3"/>
      <c r="B29" s="8">
        <f>ROW(B29)-ROW($B$2)</f>
        <v>27</v>
      </c>
      <c r="C29" s="9" t="s">
        <v>138</v>
      </c>
      <c r="D29" s="10" t="s">
        <v>139</v>
      </c>
      <c r="E29" s="11" t="s">
        <v>140</v>
      </c>
      <c r="F29" s="10" t="s">
        <v>125</v>
      </c>
      <c r="G29" s="11" t="s">
        <v>141</v>
      </c>
      <c r="H29" s="10" t="s">
        <v>40</v>
      </c>
      <c r="I29" s="11" t="s">
        <v>142</v>
      </c>
      <c r="J29" s="10">
        <v>5</v>
      </c>
      <c r="K29" s="10"/>
    </row>
    <row r="30" ht="15.75" spans="1:11">
      <c r="A30" s="3"/>
      <c r="B30" s="8">
        <f>ROW(B30)-ROW($B$2)</f>
        <v>28</v>
      </c>
      <c r="C30" s="12" t="s">
        <v>122</v>
      </c>
      <c r="D30" s="13" t="s">
        <v>143</v>
      </c>
      <c r="E30" s="14" t="s">
        <v>144</v>
      </c>
      <c r="F30" s="13" t="s">
        <v>125</v>
      </c>
      <c r="G30" s="14" t="s">
        <v>145</v>
      </c>
      <c r="H30" s="13" t="s">
        <v>40</v>
      </c>
      <c r="I30" s="14" t="s">
        <v>146</v>
      </c>
      <c r="J30" s="13">
        <v>7</v>
      </c>
      <c r="K30" s="13"/>
    </row>
    <row r="31" ht="15.75" spans="1:11">
      <c r="A31" s="3"/>
      <c r="B31" s="8">
        <f>ROW(B31)-ROW($B$2)</f>
        <v>29</v>
      </c>
      <c r="C31" s="9" t="s">
        <v>122</v>
      </c>
      <c r="D31" s="10" t="s">
        <v>147</v>
      </c>
      <c r="E31" s="11" t="s">
        <v>148</v>
      </c>
      <c r="F31" s="10" t="s">
        <v>131</v>
      </c>
      <c r="G31" s="11" t="s">
        <v>149</v>
      </c>
      <c r="H31" s="10" t="s">
        <v>40</v>
      </c>
      <c r="I31" s="11" t="s">
        <v>142</v>
      </c>
      <c r="J31" s="10">
        <v>1</v>
      </c>
      <c r="K31" s="10"/>
    </row>
    <row r="32" ht="15.75" spans="1:11">
      <c r="A32" s="3"/>
      <c r="B32" s="8">
        <f>ROW(B32)-ROW($B$2)</f>
        <v>30</v>
      </c>
      <c r="C32" s="12" t="s">
        <v>122</v>
      </c>
      <c r="D32" s="13" t="s">
        <v>150</v>
      </c>
      <c r="E32" s="14" t="s">
        <v>151</v>
      </c>
      <c r="F32" s="13" t="s">
        <v>125</v>
      </c>
      <c r="G32" s="14" t="s">
        <v>152</v>
      </c>
      <c r="H32" s="13" t="s">
        <v>40</v>
      </c>
      <c r="I32" s="14" t="s">
        <v>153</v>
      </c>
      <c r="J32" s="13">
        <v>1</v>
      </c>
      <c r="K32" s="13"/>
    </row>
    <row r="33" spans="1:11">
      <c r="A33" s="3"/>
      <c r="B33" s="8">
        <f>ROW(B33)-ROW($B$2)</f>
        <v>31</v>
      </c>
      <c r="C33" s="9" t="s">
        <v>122</v>
      </c>
      <c r="D33" s="10" t="s">
        <v>154</v>
      </c>
      <c r="E33" s="11" t="s">
        <v>155</v>
      </c>
      <c r="F33" s="10" t="s">
        <v>125</v>
      </c>
      <c r="G33" s="11" t="s">
        <v>156</v>
      </c>
      <c r="H33" s="10" t="s">
        <v>40</v>
      </c>
      <c r="I33" s="11" t="s">
        <v>157</v>
      </c>
      <c r="J33" s="10">
        <v>3</v>
      </c>
      <c r="K33" s="10"/>
    </row>
    <row r="34" spans="1:11">
      <c r="A34" s="3"/>
      <c r="B34" s="8">
        <f>ROW(B34)-ROW($B$2)</f>
        <v>32</v>
      </c>
      <c r="C34" s="12" t="s">
        <v>138</v>
      </c>
      <c r="D34" s="13" t="s">
        <v>158</v>
      </c>
      <c r="E34" s="14" t="s">
        <v>159</v>
      </c>
      <c r="F34" s="13" t="s">
        <v>125</v>
      </c>
      <c r="G34" s="14" t="s">
        <v>160</v>
      </c>
      <c r="H34" s="13" t="s">
        <v>40</v>
      </c>
      <c r="I34" s="14" t="s">
        <v>161</v>
      </c>
      <c r="J34" s="13">
        <v>1</v>
      </c>
      <c r="K34" s="13"/>
    </row>
    <row r="35" spans="1:11">
      <c r="A35" s="3"/>
      <c r="B35" s="8">
        <f>ROW(B35)-ROW($B$2)</f>
        <v>33</v>
      </c>
      <c r="C35" s="12" t="s">
        <v>138</v>
      </c>
      <c r="D35" s="10" t="s">
        <v>162</v>
      </c>
      <c r="E35" s="11" t="s">
        <v>163</v>
      </c>
      <c r="F35" s="10" t="s">
        <v>131</v>
      </c>
      <c r="G35" s="11" t="s">
        <v>164</v>
      </c>
      <c r="H35" s="10" t="s">
        <v>40</v>
      </c>
      <c r="I35" s="11" t="s">
        <v>165</v>
      </c>
      <c r="J35" s="10">
        <v>1</v>
      </c>
      <c r="K35" s="10"/>
    </row>
    <row r="36" spans="1:11">
      <c r="A36" s="3"/>
      <c r="B36" s="8">
        <f>ROW(B36)-ROW($B$2)</f>
        <v>34</v>
      </c>
      <c r="C36" s="12" t="s">
        <v>138</v>
      </c>
      <c r="D36" s="13" t="s">
        <v>166</v>
      </c>
      <c r="E36" s="14" t="s">
        <v>167</v>
      </c>
      <c r="F36" s="13" t="s">
        <v>125</v>
      </c>
      <c r="G36" s="14" t="s">
        <v>168</v>
      </c>
      <c r="H36" s="13" t="s">
        <v>40</v>
      </c>
      <c r="I36" s="14" t="s">
        <v>169</v>
      </c>
      <c r="J36" s="13">
        <v>1</v>
      </c>
      <c r="K36" s="13"/>
    </row>
    <row r="37" ht="60.75" spans="1:11">
      <c r="A37" s="3"/>
      <c r="B37" s="8">
        <f>ROW(B37)-ROW($B$2)</f>
        <v>35</v>
      </c>
      <c r="C37" s="9" t="s">
        <v>170</v>
      </c>
      <c r="D37" s="10" t="s">
        <v>171</v>
      </c>
      <c r="E37" s="11" t="s">
        <v>172</v>
      </c>
      <c r="F37" s="10" t="s">
        <v>173</v>
      </c>
      <c r="G37" s="11" t="s">
        <v>173</v>
      </c>
      <c r="H37" s="10" t="s">
        <v>174</v>
      </c>
      <c r="I37" s="11" t="s">
        <v>61</v>
      </c>
      <c r="J37" s="10">
        <v>1</v>
      </c>
      <c r="K37" s="10"/>
    </row>
    <row r="38" spans="1:11">
      <c r="A38" s="3"/>
      <c r="B38" s="8">
        <f>ROW(B38)-ROW($B$2)</f>
        <v>36</v>
      </c>
      <c r="C38" s="12" t="s">
        <v>175</v>
      </c>
      <c r="D38" s="13" t="s">
        <v>176</v>
      </c>
      <c r="E38" s="14" t="s">
        <v>177</v>
      </c>
      <c r="F38" s="13" t="s">
        <v>178</v>
      </c>
      <c r="G38" s="14" t="s">
        <v>179</v>
      </c>
      <c r="H38" s="13" t="s">
        <v>180</v>
      </c>
      <c r="I38" s="14" t="s">
        <v>61</v>
      </c>
      <c r="J38" s="13">
        <v>1</v>
      </c>
      <c r="K38" s="13"/>
    </row>
    <row r="39" spans="1:11">
      <c r="A39" s="3"/>
      <c r="B39" s="8">
        <f>ROW(B39)-ROW($B$2)</f>
        <v>37</v>
      </c>
      <c r="C39" s="9" t="s">
        <v>175</v>
      </c>
      <c r="D39" s="10" t="s">
        <v>181</v>
      </c>
      <c r="E39" s="11" t="s">
        <v>182</v>
      </c>
      <c r="F39" s="10" t="s">
        <v>183</v>
      </c>
      <c r="G39" s="11" t="s">
        <v>184</v>
      </c>
      <c r="H39" s="10" t="s">
        <v>185</v>
      </c>
      <c r="I39" s="11" t="s">
        <v>61</v>
      </c>
      <c r="J39" s="10">
        <v>1</v>
      </c>
      <c r="K39" s="10"/>
    </row>
    <row r="40" spans="1:11">
      <c r="A40" s="3"/>
      <c r="B40" s="8">
        <f>ROW(B40)-ROW($B$2)</f>
        <v>38</v>
      </c>
      <c r="C40" s="12" t="s">
        <v>175</v>
      </c>
      <c r="D40" s="13" t="s">
        <v>186</v>
      </c>
      <c r="E40" s="14" t="s">
        <v>187</v>
      </c>
      <c r="F40" s="13" t="s">
        <v>188</v>
      </c>
      <c r="G40" s="14" t="s">
        <v>189</v>
      </c>
      <c r="H40" s="13" t="s">
        <v>190</v>
      </c>
      <c r="I40" s="14" t="s">
        <v>61</v>
      </c>
      <c r="J40" s="13">
        <v>1</v>
      </c>
      <c r="K40" s="13"/>
    </row>
    <row r="41" spans="1:11">
      <c r="A41" s="3"/>
      <c r="B41" s="8">
        <f>ROW(B41)-ROW($B$2)</f>
        <v>39</v>
      </c>
      <c r="C41" s="9" t="s">
        <v>175</v>
      </c>
      <c r="D41" s="10" t="s">
        <v>191</v>
      </c>
      <c r="E41" s="11" t="s">
        <v>192</v>
      </c>
      <c r="F41" s="10" t="s">
        <v>193</v>
      </c>
      <c r="G41" s="11" t="s">
        <v>194</v>
      </c>
      <c r="H41" s="10" t="s">
        <v>195</v>
      </c>
      <c r="I41" s="11" t="s">
        <v>61</v>
      </c>
      <c r="J41" s="10">
        <v>1</v>
      </c>
      <c r="K41" s="10"/>
    </row>
    <row r="42" spans="1:11">
      <c r="A42" s="3"/>
      <c r="B42" s="8">
        <f>ROW(B42)-ROW($B$2)</f>
        <v>40</v>
      </c>
      <c r="C42" s="12" t="s">
        <v>175</v>
      </c>
      <c r="D42" s="13" t="s">
        <v>196</v>
      </c>
      <c r="E42" s="14" t="s">
        <v>197</v>
      </c>
      <c r="F42" s="13" t="s">
        <v>198</v>
      </c>
      <c r="G42" s="14" t="s">
        <v>199</v>
      </c>
      <c r="H42" s="13" t="s">
        <v>200</v>
      </c>
      <c r="I42" s="14" t="s">
        <v>61</v>
      </c>
      <c r="J42" s="13">
        <v>1</v>
      </c>
      <c r="K42" s="13"/>
    </row>
    <row r="43" spans="1:11">
      <c r="A43" s="3"/>
      <c r="B43" s="8">
        <f>ROW(B43)-ROW($B$2)</f>
        <v>41</v>
      </c>
      <c r="C43" s="9" t="s">
        <v>175</v>
      </c>
      <c r="D43" s="10" t="s">
        <v>201</v>
      </c>
      <c r="E43" s="11" t="s">
        <v>202</v>
      </c>
      <c r="F43" s="10" t="s">
        <v>203</v>
      </c>
      <c r="G43" s="11" t="s">
        <v>204</v>
      </c>
      <c r="H43" s="10" t="s">
        <v>200</v>
      </c>
      <c r="I43" s="11" t="s">
        <v>61</v>
      </c>
      <c r="J43" s="10">
        <v>1</v>
      </c>
      <c r="K43" s="10"/>
    </row>
    <row r="44" ht="24.75" spans="1:11">
      <c r="A44" s="3"/>
      <c r="B44" s="8">
        <f>ROW(B44)-ROW($B$2)</f>
        <v>42</v>
      </c>
      <c r="C44" s="12" t="s">
        <v>205</v>
      </c>
      <c r="D44" s="13" t="s">
        <v>206</v>
      </c>
      <c r="E44" s="14" t="s">
        <v>207</v>
      </c>
      <c r="F44" s="13" t="s">
        <v>208</v>
      </c>
      <c r="G44" s="14" t="s">
        <v>209</v>
      </c>
      <c r="H44" s="13" t="s">
        <v>210</v>
      </c>
      <c r="I44" s="14" t="s">
        <v>211</v>
      </c>
      <c r="J44" s="13">
        <v>1</v>
      </c>
      <c r="K44" s="13"/>
    </row>
    <row r="45" ht="15.75" spans="1:11">
      <c r="A45" s="3"/>
      <c r="B45" s="8">
        <f>ROW(B45)-ROW($B$2)</f>
        <v>43</v>
      </c>
      <c r="C45" s="9" t="s">
        <v>205</v>
      </c>
      <c r="D45" s="10" t="s">
        <v>212</v>
      </c>
      <c r="E45" s="11" t="s">
        <v>213</v>
      </c>
      <c r="F45" s="10" t="s">
        <v>214</v>
      </c>
      <c r="G45" s="11" t="s">
        <v>215</v>
      </c>
      <c r="H45" s="10" t="s">
        <v>53</v>
      </c>
      <c r="I45" s="11" t="s">
        <v>216</v>
      </c>
      <c r="J45" s="10">
        <v>1</v>
      </c>
      <c r="K45" s="10"/>
    </row>
  </sheetData>
  <mergeCells count="1">
    <mergeCell ref="I1:K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</cp:lastModifiedBy>
  <dcterms:created xsi:type="dcterms:W3CDTF">2019-12-12T10:34:00Z</dcterms:created>
  <dcterms:modified xsi:type="dcterms:W3CDTF">2025-06-26T13:27:18Z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E2E8F18082294F89817FF790BCC8F1F2_13</vt:lpwstr>
  </property>
  <property fmtid="{D5CDD505-2E9C-101B-9397-08002B2CF9AE}" pid="3" name="KSOProductBuildVer">
    <vt:lpwstr>1033-12.2.0.21546</vt:lpwstr>
  </property>
</Properties>
</file>