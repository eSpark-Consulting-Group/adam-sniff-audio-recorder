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<sst xmlns="http://schemas.openxmlformats.org/spreadsheetml/2006/main" count="94" uniqueCount="69">
  <si>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</si>
  <si>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</si>
  <si>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</si>
  <si>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</si>
  <si>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</si>
  <si>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</si>
  <si>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</si>
  <si>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</si>
  <si>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</si>
  <si>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</si>
  <si>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Capacitors</t>
  </si>
  <si>
    <t>C1, C3, C4, C9</t>
  </si>
  <si>
    <t>CAP CER 10UF 16V X7R 1206</t>
  </si>
  <si>
    <t>Cap-1206</t>
  </si>
  <si>
    <t>CC1206KKX7R7BB106</t>
  </si>
  <si>
    <t>Yageo</t>
  </si>
  <si>
    <t>10uF</t>
  </si>
  <si>
    <t>C2, C5</t>
  </si>
  <si>
    <t>CAP CER 0.1UF 16V X7R 0402</t>
  </si>
  <si>
    <t>Cap-0402</t>
  </si>
  <si>
    <t>CC0402KRX7R7BB104</t>
  </si>
  <si>
    <t>0.1uF</t>
  </si>
  <si>
    <t>Capacitor</t>
  </si>
  <si>
    <t>C6</t>
  </si>
  <si>
    <t>CAP CER 10000PF 25V X7R 0402</t>
  </si>
  <si>
    <t>CC0402KRX7R8BB103</t>
  </si>
  <si>
    <t>10nF</t>
  </si>
  <si>
    <t>C7</t>
  </si>
  <si>
    <t>CAP CER 1000PF 25V X7R 0402</t>
  </si>
  <si>
    <t>CC0402KRX7R8BB102</t>
  </si>
  <si>
    <t>1nF</t>
  </si>
  <si>
    <t>C8</t>
  </si>
  <si>
    <t>CAP CER 15PF 50V C0G/NPO 0402</t>
  </si>
  <si>
    <t>CQ0402GRNPO9BN150</t>
  </si>
  <si>
    <t>15pF</t>
  </si>
  <si>
    <t>Resistor</t>
  </si>
  <si>
    <t>R2</t>
  </si>
  <si>
    <t>RES SMD 1.58KOHM 0.1% 1/16W 0402</t>
  </si>
  <si>
    <t>Res-0402</t>
  </si>
  <si>
    <t>RT0402BRD071K58L</t>
  </si>
  <si>
    <t>1.58K</t>
  </si>
  <si>
    <t>R3</t>
  </si>
  <si>
    <t>RES 10K OHM 1% 1/16W 0402</t>
  </si>
  <si>
    <t>RC0402FR-0710KL</t>
  </si>
  <si>
    <t>10K</t>
  </si>
  <si>
    <t>R4, R7</t>
  </si>
  <si>
    <t>RES 100K OHM 1% 1/16W 0402</t>
  </si>
  <si>
    <t>RC0402FR-07100KL</t>
  </si>
  <si>
    <t>100K</t>
  </si>
  <si>
    <t>Resistors</t>
  </si>
  <si>
    <t>R5</t>
  </si>
  <si>
    <t>RES 0 OHM JUMPER 1/16W 0402</t>
  </si>
  <si>
    <t>RC0402FR-070RL</t>
  </si>
  <si>
    <t>0R</t>
  </si>
  <si>
    <t>R8</t>
  </si>
  <si>
    <t>RES 499K OHM 1% 1/16W 0402</t>
  </si>
  <si>
    <t>RC0402FR-07499KL</t>
  </si>
  <si>
    <t>499K</t>
  </si>
  <si>
    <t>R9</t>
  </si>
  <si>
    <t>RES 4.87K OHM 1% 1/16W 0402</t>
  </si>
  <si>
    <t>RC0402FR-074K87L</t>
  </si>
  <si>
    <t>4.87K</t>
  </si>
  <si>
    <t>IC</t>
  </si>
  <si>
    <t>U1</t>
  </si>
  <si>
    <t>IC AUDIO 1 CIRCUIT SOT23-5</t>
  </si>
  <si>
    <t>SOT-23-5</t>
  </si>
  <si>
    <t>OPA1671IDBVR</t>
  </si>
  <si>
    <t>Texas Instruments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</si>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</sst>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4"/>
  <sheetViews>
    <sheetView tabSelected="1" workbookViewId="0">
      <selection activeCell="D16" sqref="D16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ht="15.75" spans="1:11">
      <c r="A4" s="2"/>
      <c r="B4" s="7">
        <f>ROW(B4)-ROW($B$2)</f>
        <v>2</v>
      </c>
      <c r="C4" s="11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15</v>
      </c>
      <c r="I4" s="13" t="s">
        <v>21</v>
      </c>
      <c r="J4" s="12">
        <v>2</v>
      </c>
      <c r="K4" s="12"/>
    </row>
    <row r="5" ht="15.75" spans="1:11">
      <c r="A5" s="2"/>
      <c r="B5" s="7">
        <f>ROW(B5)-ROW($B$2)</f>
        <v>3</v>
      </c>
      <c r="C5" s="8" t="s">
        <v>22</v>
      </c>
      <c r="D5" s="9" t="s">
        <v>23</v>
      </c>
      <c r="E5" s="10" t="s">
        <v>24</v>
      </c>
      <c r="F5" s="9" t="s">
        <v>19</v>
      </c>
      <c r="G5" s="10" t="s">
        <v>25</v>
      </c>
      <c r="H5" s="9" t="s">
        <v>15</v>
      </c>
      <c r="I5" s="10" t="s">
        <v>26</v>
      </c>
      <c r="J5" s="9">
        <v>1</v>
      </c>
      <c r="K5" s="9"/>
    </row>
    <row r="6" ht="15.75" spans="1:11">
      <c r="A6" s="2"/>
      <c r="B6" s="7">
        <f>ROW(B6)-ROW($B$2)</f>
        <v>4</v>
      </c>
      <c r="C6" s="11" t="s">
        <v>22</v>
      </c>
      <c r="D6" s="12" t="s">
        <v>27</v>
      </c>
      <c r="E6" s="13" t="s">
        <v>28</v>
      </c>
      <c r="F6" s="12" t="s">
        <v>19</v>
      </c>
      <c r="G6" s="13" t="s">
        <v>29</v>
      </c>
      <c r="H6" s="12" t="s">
        <v>15</v>
      </c>
      <c r="I6" s="13" t="s">
        <v>30</v>
      </c>
      <c r="J6" s="12">
        <v>1</v>
      </c>
      <c r="K6" s="12"/>
    </row>
    <row r="7" ht="15.75" spans="1:11">
      <c r="A7" s="2"/>
      <c r="B7" s="7">
        <f>ROW(B7)-ROW($B$2)</f>
        <v>5</v>
      </c>
      <c r="C7" s="8" t="s">
        <v>10</v>
      </c>
      <c r="D7" s="9" t="s">
        <v>31</v>
      </c>
      <c r="E7" s="10" t="s">
        <v>32</v>
      </c>
      <c r="F7" s="9" t="s">
        <v>19</v>
      </c>
      <c r="G7" s="10" t="s">
        <v>33</v>
      </c>
      <c r="H7" s="9" t="s">
        <v>15</v>
      </c>
      <c r="I7" s="10" t="s">
        <v>34</v>
      </c>
      <c r="J7" s="9">
        <v>1</v>
      </c>
      <c r="K7" s="9"/>
    </row>
    <row r="8" ht="15.75" spans="1:11">
      <c r="A8" s="2"/>
      <c r="B8" s="7">
        <f>ROW(B8)-ROW($B$2)</f>
        <v>6</v>
      </c>
      <c r="C8" s="11" t="s">
        <v>35</v>
      </c>
      <c r="D8" s="12" t="s">
        <v>36</v>
      </c>
      <c r="E8" s="13" t="s">
        <v>37</v>
      </c>
      <c r="F8" s="12" t="s">
        <v>38</v>
      </c>
      <c r="G8" s="13" t="s">
        <v>39</v>
      </c>
      <c r="H8" s="12" t="s">
        <v>15</v>
      </c>
      <c r="I8" s="13" t="s">
        <v>40</v>
      </c>
      <c r="J8" s="12">
        <v>1</v>
      </c>
      <c r="K8" s="12"/>
    </row>
    <row r="9" ht="15.75" spans="1:11">
      <c r="A9" s="2"/>
      <c r="B9" s="7">
        <f>ROW(B9)-ROW($B$2)</f>
        <v>7</v>
      </c>
      <c r="C9" s="8" t="s">
        <v>35</v>
      </c>
      <c r="D9" s="9" t="s">
        <v>41</v>
      </c>
      <c r="E9" s="10" t="s">
        <v>42</v>
      </c>
      <c r="F9" s="9" t="s">
        <v>38</v>
      </c>
      <c r="G9" s="10" t="s">
        <v>43</v>
      </c>
      <c r="H9" s="9" t="s">
        <v>15</v>
      </c>
      <c r="I9" s="10" t="s">
        <v>44</v>
      </c>
      <c r="J9" s="9">
        <v>1</v>
      </c>
      <c r="K9" s="9"/>
    </row>
    <row r="10" spans="1:11">
      <c r="A10" s="2"/>
      <c r="B10" s="7">
        <f>ROW(B10)-ROW($B$2)</f>
        <v>8</v>
      </c>
      <c r="C10" s="11" t="s">
        <v>35</v>
      </c>
      <c r="D10" s="12" t="s">
        <v>45</v>
      </c>
      <c r="E10" s="13" t="s">
        <v>46</v>
      </c>
      <c r="F10" s="12" t="s">
        <v>38</v>
      </c>
      <c r="G10" s="13" t="s">
        <v>47</v>
      </c>
      <c r="H10" s="12" t="s">
        <v>15</v>
      </c>
      <c r="I10" s="13" t="s">
        <v>48</v>
      </c>
      <c r="J10" s="12">
        <v>2</v>
      </c>
      <c r="K10" s="12"/>
    </row>
    <row r="11" spans="1:11">
      <c r="A11" s="2"/>
      <c r="B11" s="7">
        <f>ROW(B11)-ROW($B$2)</f>
        <v>9</v>
      </c>
      <c r="C11" s="8" t="s">
        <v>49</v>
      </c>
      <c r="D11" s="9" t="s">
        <v>50</v>
      </c>
      <c r="E11" s="10" t="s">
        <v>51</v>
      </c>
      <c r="F11" s="9" t="s">
        <v>38</v>
      </c>
      <c r="G11" s="10" t="s">
        <v>52</v>
      </c>
      <c r="H11" s="9" t="s">
        <v>15</v>
      </c>
      <c r="I11" s="10" t="s">
        <v>53</v>
      </c>
      <c r="J11" s="9">
        <v>1</v>
      </c>
      <c r="K11" s="9"/>
    </row>
    <row r="12" spans="1:11">
      <c r="A12" s="2"/>
      <c r="B12" s="7">
        <f>ROW(B12)-ROW($B$2)</f>
        <v>10</v>
      </c>
      <c r="C12" s="8" t="s">
        <v>49</v>
      </c>
      <c r="D12" s="12" t="s">
        <v>54</v>
      </c>
      <c r="E12" s="13" t="s">
        <v>55</v>
      </c>
      <c r="F12" s="12" t="s">
        <v>38</v>
      </c>
      <c r="G12" s="13" t="s">
        <v>56</v>
      </c>
      <c r="H12" s="12" t="s">
        <v>15</v>
      </c>
      <c r="I12" s="13" t="s">
        <v>57</v>
      </c>
      <c r="J12" s="12">
        <v>1</v>
      </c>
      <c r="K12" s="12"/>
    </row>
    <row r="13" spans="1:11">
      <c r="A13" s="2"/>
      <c r="B13" s="7">
        <f>ROW(B13)-ROW($B$2)</f>
        <v>11</v>
      </c>
      <c r="C13" s="8" t="s">
        <v>49</v>
      </c>
      <c r="D13" s="9" t="s">
        <v>58</v>
      </c>
      <c r="E13" s="10" t="s">
        <v>59</v>
      </c>
      <c r="F13" s="9" t="s">
        <v>38</v>
      </c>
      <c r="G13" s="10" t="s">
        <v>60</v>
      </c>
      <c r="H13" s="9" t="s">
        <v>15</v>
      </c>
      <c r="I13" s="10" t="s">
        <v>61</v>
      </c>
      <c r="J13" s="9">
        <v>1</v>
      </c>
      <c r="K13" s="9"/>
    </row>
    <row r="14" spans="1:11">
      <c r="A14" s="2"/>
      <c r="B14" s="7">
        <f>ROW(B14)-ROW($B$2)</f>
        <v>12</v>
      </c>
      <c r="C14" s="11" t="s">
        <v>62</v>
      </c>
      <c r="D14" s="12" t="s">
        <v>63</v>
      </c>
      <c r="E14" s="13" t="s">
        <v>64</v>
      </c>
      <c r="F14" s="12" t="s">
        <v>65</v>
      </c>
      <c r="G14" s="13" t="s">
        <v>66</v>
      </c>
      <c r="H14" s="12" t="s">
        <v>67</v>
      </c>
      <c r="I14" s="13" t="s">
        <v>68</v>
      </c>
      <c r="J14" s="12">
        <v>1</v>
      </c>
      <c r="K14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2025-06-27T12:04:33Z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FECC49A377D94FCFAD5F4B656BEC1437_13</vt:lpwstr>
  </property>
  <property fmtid="{D5CDD505-2E9C-101B-9397-08002B2CF9AE}" pid="3" name="KSOProductBuildVer">
    <vt:lpwstr>1033-12.2.0.21546</vt:lpwstr>
  </property>
</Properties>
</file>